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무역관리프로그램\dashboard\"/>
    </mc:Choice>
  </mc:AlternateContent>
  <xr:revisionPtr revIDLastSave="0" documentId="13_ncr:1_{CDA55BAD-122B-4DF2-89A8-1CCA8D8C7C4F}" xr6:coauthVersionLast="47" xr6:coauthVersionMax="47" xr10:uidLastSave="{00000000-0000-0000-0000-000000000000}"/>
  <bookViews>
    <workbookView xWindow="1884" yWindow="1884" windowWidth="23040" windowHeight="13560" tabRatio="1000" xr2:uid="{00000000-000D-0000-FFFF-FFFF00000000}"/>
  </bookViews>
  <sheets>
    <sheet name="PI-YSACC-YGZ-2026-05(HDPE)" sheetId="102" r:id="rId1"/>
  </sheets>
  <definedNames>
    <definedName name="_xlnm.Print_Area" localSheetId="0">'PI-YSACC-YGZ-2026-05(HDPE)'!$A$1:$G$45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102" l="1"/>
  <c r="U35" i="102"/>
  <c r="M33" i="102"/>
  <c r="G36" i="102"/>
  <c r="U36" i="102" l="1"/>
  <c r="F36" i="102"/>
</calcChain>
</file>

<file path=xl/sharedStrings.xml><?xml version="1.0" encoding="utf-8"?>
<sst xmlns="http://schemas.openxmlformats.org/spreadsheetml/2006/main" count="46" uniqueCount="46">
  <si>
    <t xml:space="preserve">DEPARTURE PORT :   </t>
    <phoneticPr fontId="4" type="noConversion"/>
  </si>
  <si>
    <t xml:space="preserve">INCOTERMS :   </t>
    <phoneticPr fontId="4" type="noConversion"/>
  </si>
  <si>
    <t xml:space="preserve">DESTINATION :   </t>
    <phoneticPr fontId="4" type="noConversion"/>
  </si>
  <si>
    <t xml:space="preserve">ORIGIN :   </t>
    <phoneticPr fontId="6" type="noConversion"/>
  </si>
  <si>
    <t xml:space="preserve">Payment Term :   </t>
    <phoneticPr fontId="6" type="noConversion"/>
  </si>
  <si>
    <t>SPEC</t>
    <phoneticPr fontId="6" type="noConversion"/>
  </si>
  <si>
    <t>Contact Point : Ju Han, Kim</t>
    <phoneticPr fontId="3" type="noConversion"/>
  </si>
  <si>
    <t>TEL : +82-10-7361-1130</t>
    <phoneticPr fontId="4" type="noConversion"/>
  </si>
  <si>
    <t>TEL : +82-70-4141-2927   FAX : +82-303-3444-1130</t>
    <phoneticPr fontId="4" type="noConversion"/>
  </si>
  <si>
    <t>E-mail : jhkim1130@ysacc.co.kr</t>
    <phoneticPr fontId="4" type="noConversion"/>
  </si>
  <si>
    <t>1. Bank Name : INDUSTRIAL BANK OF KOREA, SEOUL,KOREA</t>
    <phoneticPr fontId="4" type="noConversion"/>
  </si>
  <si>
    <t>3. Bank Address : 50, ULCHIRO 2-GA, CHUNG-GU, SEOUL, 100-758, SOUTH KOREA</t>
    <phoneticPr fontId="4" type="noConversion"/>
  </si>
  <si>
    <t>5. Swift Code : IBKOKRSEXXX</t>
    <phoneticPr fontId="4" type="noConversion"/>
  </si>
  <si>
    <t xml:space="preserve">  Gentlemen, We are very pleased to offer you as Follows;</t>
    <phoneticPr fontId="4" type="noConversion"/>
  </si>
  <si>
    <t xml:space="preserve">VALIDITY :   </t>
    <phoneticPr fontId="4" type="noConversion"/>
  </si>
  <si>
    <t>Bank Info. :</t>
    <phoneticPr fontId="6" type="noConversion"/>
  </si>
  <si>
    <t>2. Bank Account No. : 143-129260-56-00012</t>
    <phoneticPr fontId="4" type="noConversion"/>
  </si>
  <si>
    <t>4. Beneficiary : YSACC Co.,LTD</t>
    <phoneticPr fontId="4" type="noConversion"/>
  </si>
  <si>
    <t>PRODUCT</t>
    <phoneticPr fontId="4" type="noConversion"/>
  </si>
  <si>
    <t>TOTAL AMOUNT</t>
    <phoneticPr fontId="4" type="noConversion"/>
  </si>
  <si>
    <t>Remark</t>
    <phoneticPr fontId="6" type="noConversion"/>
  </si>
  <si>
    <t xml:space="preserve">2. Shipping cost can be changed every month as following the condition of shipping company.                                                     </t>
    <phoneticPr fontId="3" type="noConversion"/>
  </si>
  <si>
    <t>Ju Han Kim</t>
    <phoneticPr fontId="3" type="noConversion"/>
  </si>
  <si>
    <t xml:space="preserve">      Accepted by :</t>
    <phoneticPr fontId="4" type="noConversion"/>
  </si>
  <si>
    <t>Managing Director</t>
    <phoneticPr fontId="4" type="noConversion"/>
  </si>
  <si>
    <t xml:space="preserve">PACKAGING SPEC. :   </t>
    <phoneticPr fontId="4" type="noConversion"/>
  </si>
  <si>
    <t>Proforma Invoice</t>
    <phoneticPr fontId="4" type="noConversion"/>
  </si>
  <si>
    <t xml:space="preserve">No.: </t>
    <phoneticPr fontId="3" type="noConversion"/>
  </si>
  <si>
    <t>YSACC CO.,LTD</t>
    <phoneticPr fontId="4" type="noConversion"/>
  </si>
  <si>
    <t>DELIVERY TERM</t>
    <phoneticPr fontId="4" type="noConversion"/>
  </si>
  <si>
    <t>PRICE / KG/mtr/qty</t>
  </si>
  <si>
    <t>Q'ty(KG)</t>
    <phoneticPr fontId="4" type="noConversion"/>
  </si>
  <si>
    <r>
      <rPr>
        <sz val="11"/>
        <rFont val="맑은 고딕"/>
        <family val="2"/>
        <charset val="129"/>
      </rPr>
      <t>매입가</t>
    </r>
    <phoneticPr fontId="3" type="noConversion"/>
  </si>
  <si>
    <r>
      <rPr>
        <sz val="11"/>
        <rFont val="Arial Unicode MS"/>
        <family val="2"/>
        <charset val="129"/>
      </rPr>
      <t>환율</t>
    </r>
    <phoneticPr fontId="3" type="noConversion"/>
  </si>
  <si>
    <r>
      <rPr>
        <sz val="11"/>
        <rFont val="Arial Unicode MS"/>
        <family val="2"/>
        <charset val="129"/>
      </rPr>
      <t>이익율</t>
    </r>
    <phoneticPr fontId="3" type="noConversion"/>
  </si>
  <si>
    <t>1. This is basic price. This can be changed as following your added requests.</t>
    <phoneticPr fontId="3" type="noConversion"/>
  </si>
  <si>
    <t xml:space="preserve">Your Ref: </t>
    <phoneticPr fontId="3" type="noConversion"/>
  </si>
  <si>
    <t xml:space="preserve">Date: </t>
    <phoneticPr fontId="3" type="noConversion"/>
  </si>
  <si>
    <t>109F</t>
    <phoneticPr fontId="3" type="noConversion"/>
  </si>
  <si>
    <t>109N</t>
    <phoneticPr fontId="3" type="noConversion"/>
  </si>
  <si>
    <t>위험물 검사비 180,000</t>
    <phoneticPr fontId="3" type="noConversion"/>
  </si>
  <si>
    <t>201-1HO, 1251, GAROSU-RO, HEUNGDEOK-GU,</t>
  </si>
  <si>
    <t>CHEONGJU-SI, CHUNGCHEONGBUK-DO , 28420, KOREA</t>
  </si>
  <si>
    <t xml:space="preserve">Messers : </t>
  </si>
  <si>
    <t>CIF CHARGES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</si>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</sst>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-* #,##0_-;\-* #,##0_-;_-* &quot;-&quot;_-;_-@_-"/>
    <numFmt numFmtId="164" formatCode="_-&quot;US$&quot;* #,##0.00_ ;_-&quot;US$&quot;* \-#,##0.00\ ;_-&quot;US$&quot;* &quot;-&quot;??_ ;_-@_ "/>
    <numFmt numFmtId="166" formatCode="_-&quot;US$&quot;* #,##0_ ;_-&quot;US$&quot;* \-#,##0\ ;_-&quot;US$&quot;* &quot;-&quot;??_ ;_-@_ "/>
    <numFmt numFmtId="167" formatCode="[$-409]d&quot;-&quot;mmm&quot;-&quot;yy;@"/>
    <numFmt numFmtId="169" formatCode="_-[$$-409]* #,##0.00_ ;_-[$$-409]* \-#,##0.00\ ;_-[$$-409]* &quot;-&quot;??_ ;_-@_ "/>
    <numFmt numFmtId="175" formatCode="&quot;US$&quot;#,##0.00"/>
  </numFmts>
  <fonts count="30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8"/>
      <name val="돋움"/>
      <family val="3"/>
      <charset val="129"/>
    </font>
    <font>
      <sz val="10"/>
      <name val="MS Sans Serif"/>
      <family val="2"/>
    </font>
    <font>
      <sz val="8"/>
      <name val="맑은 고딕"/>
      <family val="3"/>
      <charset val="129"/>
    </font>
    <font>
      <sz val="16"/>
      <name val="Tahoma"/>
      <family val="2"/>
    </font>
    <font>
      <sz val="10"/>
      <color rgb="FF000000"/>
      <name val="Times New Roman"/>
      <family val="1"/>
      <charset val="162"/>
    </font>
    <font>
      <sz val="11"/>
      <name val="µ¸¿ò"/>
      <family val="3"/>
      <charset val="129"/>
    </font>
    <font>
      <sz val="12"/>
      <name val="Tahoma"/>
      <family val="2"/>
    </font>
    <font>
      <sz val="14"/>
      <name val="Tahoma"/>
      <family val="2"/>
    </font>
    <font>
      <b/>
      <sz val="36"/>
      <name val="Tahoma"/>
      <family val="2"/>
    </font>
    <font>
      <b/>
      <sz val="14"/>
      <name val="Tahoma"/>
      <family val="2"/>
    </font>
    <font>
      <b/>
      <sz val="11"/>
      <name val="Tahoma"/>
      <family val="2"/>
    </font>
    <font>
      <b/>
      <sz val="16"/>
      <name val="Tahoma"/>
      <family val="2"/>
    </font>
    <font>
      <b/>
      <sz val="12"/>
      <name val="Tahoma"/>
      <family val="2"/>
    </font>
    <font>
      <b/>
      <sz val="48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4"/>
      <color theme="1"/>
      <name val="Tahoma"/>
      <family val="2"/>
    </font>
    <font>
      <sz val="9"/>
      <name val="Tahoma"/>
      <family val="2"/>
    </font>
    <font>
      <b/>
      <i/>
      <sz val="32"/>
      <name val="Tahoma"/>
      <family val="2"/>
    </font>
    <font>
      <i/>
      <sz val="16"/>
      <name val="Tahoma"/>
      <family val="2"/>
    </font>
    <font>
      <b/>
      <sz val="24"/>
      <name val="Tahoma"/>
      <family val="2"/>
    </font>
    <font>
      <sz val="11"/>
      <name val="맑은 고딕"/>
      <family val="2"/>
      <charset val="129"/>
    </font>
    <font>
      <sz val="11"/>
      <name val="Arial Unicode MS"/>
      <family val="2"/>
      <charset val="129"/>
    </font>
    <font>
      <sz val="16"/>
      <color rgb="FFFF0000"/>
      <name val="Tahoma"/>
      <family val="2"/>
    </font>
    <font>
      <sz val="14"/>
      <color indexed="8"/>
      <name val="Tahoma"/>
      <family val="2"/>
    </font>
    <font>
      <b/>
      <sz val="14"/>
      <color rgb="FFFF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41" fontId="2" fillId="0" borderId="0" applyFont="0" applyFill="0" applyBorder="0" applyAlignment="0" applyProtection="0">
      <alignment vertical="center"/>
    </xf>
    <xf numFmtId="0" fontId="8" fillId="0" borderId="0"/>
    <xf numFmtId="9" fontId="2" fillId="0" borderId="0" applyFont="0" applyFill="0" applyBorder="0" applyAlignment="0" applyProtection="0">
      <alignment vertical="center"/>
    </xf>
    <xf numFmtId="0" fontId="1" fillId="0" borderId="0"/>
  </cellStyleXfs>
  <cellXfs count="117">
    <xf numFmtId="0" fontId="0" fillId="0" borderId="0" xfId="0">
      <alignment vertical="center"/>
    </xf>
    <xf numFmtId="0" fontId="7" fillId="0" borderId="0" xfId="0" applyFont="1" applyAlignment="1">
      <alignment horizontal="center" vertical="center"/>
    </xf>
    <xf numFmtId="0" fontId="7" fillId="2" borderId="0" xfId="1" applyFont="1" applyFill="1" applyAlignment="1" applyProtection="1">
      <alignment horizontal="center" vertical="center"/>
      <protection hidden="1"/>
    </xf>
    <xf numFmtId="0" fontId="11" fillId="2" borderId="0" xfId="1" applyFont="1" applyFill="1" applyProtection="1">
      <alignment vertical="center"/>
      <protection hidden="1"/>
    </xf>
    <xf numFmtId="0" fontId="13" fillId="2" borderId="0" xfId="1" applyFont="1" applyFill="1" applyProtection="1">
      <alignment vertical="center"/>
      <protection hidden="1"/>
    </xf>
    <xf numFmtId="0" fontId="14" fillId="2" borderId="0" xfId="1" applyFont="1" applyFill="1" applyProtection="1">
      <alignment vertical="center"/>
      <protection hidden="1"/>
    </xf>
    <xf numFmtId="0" fontId="13" fillId="3" borderId="0" xfId="2" applyFont="1" applyFill="1" applyAlignment="1" applyProtection="1">
      <alignment vertical="center"/>
      <protection hidden="1"/>
    </xf>
    <xf numFmtId="0" fontId="13" fillId="3" borderId="0" xfId="2" applyFont="1" applyFill="1" applyAlignment="1" applyProtection="1">
      <alignment horizontal="left" vertical="center"/>
      <protection hidden="1"/>
    </xf>
    <xf numFmtId="0" fontId="15" fillId="2" borderId="0" xfId="1" applyFont="1" applyFill="1" applyProtection="1">
      <alignment vertical="center"/>
      <protection hidden="1"/>
    </xf>
    <xf numFmtId="41" fontId="16" fillId="3" borderId="0" xfId="3" applyFont="1" applyFill="1" applyProtection="1">
      <alignment vertical="center"/>
      <protection hidden="1"/>
    </xf>
    <xf numFmtId="0" fontId="16" fillId="3" borderId="0" xfId="2" applyFont="1" applyFill="1" applyAlignment="1" applyProtection="1">
      <alignment vertical="center"/>
      <protection hidden="1"/>
    </xf>
    <xf numFmtId="0" fontId="16" fillId="2" borderId="0" xfId="1" applyFont="1" applyFill="1" applyProtection="1">
      <alignment vertical="center"/>
      <protection hidden="1"/>
    </xf>
    <xf numFmtId="0" fontId="17" fillId="2" borderId="0" xfId="1" applyFont="1" applyFill="1" applyAlignment="1" applyProtection="1">
      <alignment horizontal="center" vertical="center"/>
      <protection hidden="1"/>
    </xf>
    <xf numFmtId="0" fontId="18" fillId="2" borderId="0" xfId="1" applyFont="1" applyFill="1" applyProtection="1">
      <alignment vertical="center"/>
      <protection hidden="1"/>
    </xf>
    <xf numFmtId="0" fontId="17" fillId="3" borderId="0" xfId="2" applyFont="1" applyFill="1" applyAlignment="1" applyProtection="1">
      <alignment horizontal="center" vertical="center"/>
      <protection hidden="1"/>
    </xf>
    <xf numFmtId="0" fontId="11" fillId="2" borderId="0" xfId="1" applyFont="1" applyFill="1" applyAlignment="1" applyProtection="1">
      <alignment horizontal="left" vertical="center"/>
      <protection hidden="1"/>
    </xf>
    <xf numFmtId="0" fontId="11" fillId="3" borderId="0" xfId="2" applyFont="1" applyFill="1" applyAlignment="1" applyProtection="1">
      <alignment vertical="center"/>
      <protection hidden="1"/>
    </xf>
    <xf numFmtId="41" fontId="11" fillId="3" borderId="0" xfId="3" applyFont="1" applyFill="1" applyProtection="1">
      <alignment vertical="center"/>
      <protection hidden="1"/>
    </xf>
    <xf numFmtId="0" fontId="11" fillId="2" borderId="1" xfId="1" applyFont="1" applyFill="1" applyBorder="1" applyProtection="1">
      <alignment vertical="center"/>
      <protection hidden="1"/>
    </xf>
    <xf numFmtId="0" fontId="11" fillId="2" borderId="0" xfId="2" applyFont="1" applyFill="1" applyAlignment="1" applyProtection="1">
      <alignment vertical="center"/>
      <protection hidden="1"/>
    </xf>
    <xf numFmtId="41" fontId="11" fillId="2" borderId="0" xfId="3" applyFont="1" applyFill="1" applyProtection="1">
      <alignment vertical="center"/>
      <protection hidden="1"/>
    </xf>
    <xf numFmtId="0" fontId="11" fillId="2" borderId="1" xfId="2" applyFont="1" applyFill="1" applyBorder="1" applyAlignment="1" applyProtection="1">
      <alignment vertical="center"/>
      <protection hidden="1"/>
    </xf>
    <xf numFmtId="0" fontId="11" fillId="2" borderId="0" xfId="2" applyFont="1" applyFill="1" applyAlignment="1" applyProtection="1">
      <alignment horizontal="right" vertical="center"/>
      <protection hidden="1"/>
    </xf>
    <xf numFmtId="0" fontId="11" fillId="2" borderId="1" xfId="2" applyFont="1" applyFill="1" applyBorder="1" applyAlignment="1" applyProtection="1">
      <alignment vertical="center" wrapText="1"/>
      <protection hidden="1"/>
    </xf>
    <xf numFmtId="0" fontId="19" fillId="0" borderId="0" xfId="6" applyFont="1"/>
    <xf numFmtId="0" fontId="11" fillId="2" borderId="0" xfId="1" applyFont="1" applyFill="1" applyAlignment="1" applyProtection="1">
      <alignment horizontal="left" vertical="center" shrinkToFit="1"/>
      <protection hidden="1"/>
    </xf>
    <xf numFmtId="0" fontId="11" fillId="2" borderId="0" xfId="2" applyFont="1" applyFill="1" applyAlignment="1" applyProtection="1">
      <alignment horizontal="left" vertical="center" indent="1"/>
      <protection hidden="1"/>
    </xf>
    <xf numFmtId="0" fontId="7" fillId="0" borderId="0" xfId="0" applyFont="1">
      <alignment vertical="center"/>
    </xf>
    <xf numFmtId="0" fontId="10" fillId="3" borderId="0" xfId="2" applyFont="1" applyFill="1" applyAlignment="1" applyProtection="1">
      <alignment vertical="center"/>
      <protection hidden="1"/>
    </xf>
    <xf numFmtId="0" fontId="10" fillId="2" borderId="0" xfId="2" applyFont="1" applyFill="1" applyAlignment="1" applyProtection="1">
      <alignment horizontal="left" vertical="center"/>
      <protection hidden="1"/>
    </xf>
    <xf numFmtId="41" fontId="10" fillId="3" borderId="0" xfId="3" applyFont="1" applyFill="1" applyProtection="1">
      <alignment vertical="center"/>
      <protection hidden="1"/>
    </xf>
    <xf numFmtId="0" fontId="10" fillId="3" borderId="0" xfId="2" applyFont="1" applyFill="1" applyAlignment="1" applyProtection="1">
      <alignment horizontal="center" vertical="center"/>
      <protection hidden="1"/>
    </xf>
    <xf numFmtId="0" fontId="21" fillId="0" borderId="2" xfId="2" applyFont="1" applyBorder="1" applyAlignment="1" applyProtection="1">
      <alignment vertical="center"/>
      <protection hidden="1"/>
    </xf>
    <xf numFmtId="0" fontId="18" fillId="0" borderId="0" xfId="1" applyFont="1" applyProtection="1">
      <alignment vertical="center"/>
      <protection hidden="1"/>
    </xf>
    <xf numFmtId="0" fontId="7" fillId="0" borderId="0" xfId="1" applyFont="1" applyAlignment="1" applyProtection="1">
      <alignment horizontal="center" vertical="center"/>
      <protection hidden="1"/>
    </xf>
    <xf numFmtId="41" fontId="15" fillId="2" borderId="0" xfId="3" applyFont="1" applyFill="1" applyAlignment="1" applyProtection="1">
      <alignment horizontal="center" vertical="center"/>
      <protection hidden="1"/>
    </xf>
    <xf numFmtId="0" fontId="18" fillId="2" borderId="0" xfId="1" applyFont="1" applyFill="1" applyAlignment="1" applyProtection="1">
      <alignment horizontal="left" vertical="center"/>
      <protection hidden="1"/>
    </xf>
    <xf numFmtId="41" fontId="18" fillId="2" borderId="0" xfId="3" applyFont="1" applyFill="1" applyProtection="1">
      <alignment vertical="center"/>
      <protection hidden="1"/>
    </xf>
    <xf numFmtId="0" fontId="18" fillId="2" borderId="0" xfId="1" applyFont="1" applyFill="1" applyAlignment="1" applyProtection="1">
      <alignment horizontal="center" vertical="center"/>
      <protection hidden="1"/>
    </xf>
    <xf numFmtId="0" fontId="11" fillId="3" borderId="0" xfId="2" applyFont="1" applyFill="1" applyAlignment="1" applyProtection="1">
      <alignment horizontal="left" vertical="center"/>
      <protection hidden="1"/>
    </xf>
    <xf numFmtId="41" fontId="18" fillId="2" borderId="0" xfId="1" applyNumberFormat="1" applyFont="1" applyFill="1" applyProtection="1">
      <alignment vertical="center"/>
      <protection hidden="1"/>
    </xf>
    <xf numFmtId="41" fontId="18" fillId="2" borderId="0" xfId="3" applyFont="1" applyFill="1" applyAlignment="1" applyProtection="1">
      <alignment horizontal="center" vertical="center"/>
      <protection hidden="1"/>
    </xf>
    <xf numFmtId="9" fontId="18" fillId="2" borderId="0" xfId="5" applyFont="1" applyFill="1" applyAlignment="1" applyProtection="1">
      <alignment horizontal="center" vertical="center"/>
      <protection hidden="1"/>
    </xf>
    <xf numFmtId="41" fontId="25" fillId="2" borderId="0" xfId="3" applyFont="1" applyFill="1" applyAlignment="1" applyProtection="1">
      <alignment horizontal="center" vertical="center"/>
      <protection hidden="1"/>
    </xf>
    <xf numFmtId="0" fontId="20" fillId="0" borderId="1" xfId="0" applyFont="1" applyBorder="1">
      <alignment vertical="center"/>
    </xf>
    <xf numFmtId="9" fontId="15" fillId="2" borderId="0" xfId="5" applyFont="1" applyFill="1" applyAlignment="1" applyProtection="1">
      <alignment horizontal="center" vertical="center"/>
      <protection hidden="1"/>
    </xf>
    <xf numFmtId="0" fontId="15" fillId="0" borderId="0" xfId="1" applyFont="1" applyAlignment="1" applyProtection="1">
      <alignment horizontal="center" vertical="center"/>
      <protection hidden="1"/>
    </xf>
    <xf numFmtId="0" fontId="15" fillId="0" borderId="0" xfId="1" applyFont="1" applyAlignment="1" applyProtection="1">
      <alignment horizontal="left" vertical="center"/>
      <protection hidden="1"/>
    </xf>
    <xf numFmtId="164" fontId="15" fillId="0" borderId="0" xfId="1" applyNumberFormat="1" applyFont="1" applyAlignment="1" applyProtection="1">
      <alignment horizontal="center" vertical="center"/>
      <protection hidden="1"/>
    </xf>
    <xf numFmtId="0" fontId="7" fillId="0" borderId="0" xfId="1" applyFont="1" applyAlignment="1" applyProtection="1">
      <alignment vertical="top" wrapText="1"/>
      <protection hidden="1"/>
    </xf>
    <xf numFmtId="0" fontId="7" fillId="0" borderId="0" xfId="1" applyFont="1" applyProtection="1">
      <alignment vertical="center"/>
      <protection hidden="1"/>
    </xf>
    <xf numFmtId="0" fontId="7" fillId="0" borderId="0" xfId="2" applyFont="1" applyAlignment="1" applyProtection="1">
      <alignment horizontal="center" vertical="center"/>
      <protection hidden="1"/>
    </xf>
    <xf numFmtId="0" fontId="15" fillId="0" borderId="0" xfId="2" applyFont="1" applyAlignment="1" applyProtection="1">
      <alignment horizontal="center" vertical="center"/>
      <protection hidden="1"/>
    </xf>
    <xf numFmtId="175" fontId="13" fillId="0" borderId="0" xfId="2" applyNumberFormat="1" applyFont="1" applyAlignment="1" applyProtection="1">
      <alignment horizontal="center" vertical="center"/>
      <protection hidden="1"/>
    </xf>
    <xf numFmtId="41" fontId="11" fillId="2" borderId="0" xfId="3" applyFont="1" applyFill="1" applyAlignment="1" applyProtection="1">
      <alignment horizontal="center" vertical="center"/>
      <protection hidden="1"/>
    </xf>
    <xf numFmtId="9" fontId="11" fillId="2" borderId="0" xfId="5" applyFont="1" applyFill="1" applyAlignment="1" applyProtection="1">
      <alignment horizontal="center" vertical="center"/>
      <protection hidden="1"/>
    </xf>
    <xf numFmtId="0" fontId="7" fillId="0" borderId="0" xfId="2" applyFont="1" applyAlignment="1" applyProtection="1">
      <alignment horizontal="left" vertical="center"/>
      <protection hidden="1"/>
    </xf>
    <xf numFmtId="0" fontId="18" fillId="0" borderId="0" xfId="1" applyFont="1" applyAlignment="1" applyProtection="1">
      <alignment horizontal="center" vertical="center"/>
      <protection hidden="1"/>
    </xf>
    <xf numFmtId="0" fontId="22" fillId="0" borderId="0" xfId="2" applyFont="1" applyAlignment="1" applyProtection="1">
      <alignment vertical="center"/>
      <protection hidden="1"/>
    </xf>
    <xf numFmtId="0" fontId="22" fillId="0" borderId="2" xfId="2" applyFont="1" applyBorder="1" applyAlignment="1" applyProtection="1">
      <alignment vertical="center"/>
      <protection hidden="1"/>
    </xf>
    <xf numFmtId="0" fontId="23" fillId="0" borderId="3" xfId="1" applyFont="1" applyBorder="1" applyProtection="1">
      <alignment vertical="center"/>
      <protection hidden="1"/>
    </xf>
    <xf numFmtId="41" fontId="7" fillId="2" borderId="0" xfId="3" applyFont="1" applyFill="1" applyAlignment="1" applyProtection="1">
      <alignment horizontal="center" vertical="center"/>
      <protection hidden="1"/>
    </xf>
    <xf numFmtId="9" fontId="7" fillId="2" borderId="0" xfId="5" applyFont="1" applyFill="1" applyAlignment="1" applyProtection="1">
      <alignment horizontal="center" vertical="center"/>
      <protection hidden="1"/>
    </xf>
    <xf numFmtId="0" fontId="11" fillId="2" borderId="0" xfId="1" applyFont="1" applyFill="1" applyAlignment="1" applyProtection="1">
      <alignment vertical="center" wrapText="1" shrinkToFit="1"/>
      <protection hidden="1"/>
    </xf>
    <xf numFmtId="0" fontId="11" fillId="2" borderId="0" xfId="1" applyFont="1" applyFill="1" applyAlignment="1" applyProtection="1">
      <alignment vertical="center" wrapText="1"/>
      <protection hidden="1"/>
    </xf>
    <xf numFmtId="0" fontId="11" fillId="2" borderId="1" xfId="1" applyFont="1" applyFill="1" applyBorder="1" applyAlignment="1" applyProtection="1">
      <alignment vertical="center" wrapText="1" shrinkToFit="1"/>
      <protection hidden="1"/>
    </xf>
    <xf numFmtId="0" fontId="11" fillId="2" borderId="1" xfId="1" applyFont="1" applyFill="1" applyBorder="1" applyAlignment="1" applyProtection="1">
      <alignment vertical="center" wrapText="1"/>
      <protection hidden="1"/>
    </xf>
    <xf numFmtId="0" fontId="7" fillId="3" borderId="0" xfId="2" applyFont="1" applyFill="1" applyAlignment="1" applyProtection="1">
      <alignment horizontal="left" vertical="center"/>
      <protection hidden="1"/>
    </xf>
    <xf numFmtId="0" fontId="7" fillId="2" borderId="0" xfId="1" applyFont="1" applyFill="1" applyAlignment="1" applyProtection="1">
      <alignment horizontal="left" vertical="center"/>
      <protection hidden="1"/>
    </xf>
    <xf numFmtId="0" fontId="7" fillId="2" borderId="0" xfId="2" applyFont="1" applyFill="1" applyAlignment="1" applyProtection="1">
      <alignment horizontal="right" vertical="center"/>
      <protection hidden="1"/>
    </xf>
    <xf numFmtId="167" fontId="7" fillId="2" borderId="0" xfId="1" applyNumberFormat="1" applyFont="1" applyFill="1" applyAlignment="1" applyProtection="1">
      <alignment horizontal="left" vertical="center"/>
      <protection hidden="1"/>
    </xf>
    <xf numFmtId="14" fontId="7" fillId="2" borderId="0" xfId="1" applyNumberFormat="1" applyFont="1" applyFill="1" applyAlignment="1" applyProtection="1">
      <alignment horizontal="right" vertical="center"/>
      <protection hidden="1"/>
    </xf>
    <xf numFmtId="0" fontId="7" fillId="3" borderId="0" xfId="2" applyFont="1" applyFill="1" applyAlignment="1" applyProtection="1">
      <alignment horizontal="right" vertical="center"/>
      <protection hidden="1"/>
    </xf>
    <xf numFmtId="0" fontId="13" fillId="0" borderId="0" xfId="1" applyFont="1" applyAlignment="1" applyProtection="1">
      <alignment horizontal="center" vertical="center"/>
      <protection hidden="1"/>
    </xf>
    <xf numFmtId="164" fontId="13" fillId="0" borderId="0" xfId="1" applyNumberFormat="1" applyFont="1" applyAlignment="1" applyProtection="1">
      <alignment horizontal="center" vertical="center"/>
      <protection hidden="1"/>
    </xf>
    <xf numFmtId="0" fontId="27" fillId="0" borderId="0" xfId="1" applyFont="1" applyAlignment="1" applyProtection="1">
      <alignment horizontal="center" vertical="center" wrapText="1"/>
      <protection hidden="1"/>
    </xf>
    <xf numFmtId="0" fontId="15" fillId="0" borderId="0" xfId="1" applyFont="1" applyProtection="1">
      <alignment vertical="center"/>
      <protection hidden="1"/>
    </xf>
    <xf numFmtId="41" fontId="15" fillId="0" borderId="0" xfId="3" applyFont="1" applyFill="1" applyAlignment="1" applyProtection="1">
      <alignment horizontal="center" vertical="center"/>
      <protection hidden="1"/>
    </xf>
    <xf numFmtId="9" fontId="15" fillId="0" borderId="0" xfId="5" applyFont="1" applyFill="1" applyAlignment="1" applyProtection="1">
      <alignment horizontal="center" vertical="center"/>
      <protection hidden="1"/>
    </xf>
    <xf numFmtId="0" fontId="7" fillId="0" borderId="0" xfId="1" applyFont="1" applyAlignment="1" applyProtection="1">
      <alignment horizontal="left" vertical="center"/>
      <protection hidden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164" fontId="13" fillId="4" borderId="9" xfId="1" applyNumberFormat="1" applyFont="1" applyFill="1" applyBorder="1" applyAlignment="1" applyProtection="1">
      <alignment horizontal="left" vertical="center"/>
      <protection hidden="1"/>
    </xf>
    <xf numFmtId="169" fontId="20" fillId="3" borderId="1" xfId="3" applyNumberFormat="1" applyFont="1" applyFill="1" applyBorder="1">
      <alignment vertical="center"/>
    </xf>
    <xf numFmtId="41" fontId="20" fillId="0" borderId="1" xfId="3" applyFont="1" applyFill="1" applyBorder="1" applyAlignment="1">
      <alignment horizontal="center" vertical="center"/>
    </xf>
    <xf numFmtId="0" fontId="17" fillId="3" borderId="0" xfId="2" applyFont="1" applyFill="1" applyAlignment="1" applyProtection="1">
      <alignment vertical="center"/>
      <protection hidden="1"/>
    </xf>
    <xf numFmtId="0" fontId="20" fillId="4" borderId="11" xfId="1" applyFont="1" applyFill="1" applyBorder="1" applyAlignment="1" applyProtection="1">
      <alignment horizontal="center" vertical="center"/>
      <protection hidden="1"/>
    </xf>
    <xf numFmtId="0" fontId="20" fillId="4" borderId="11" xfId="1" applyFont="1" applyFill="1" applyBorder="1" applyAlignment="1" applyProtection="1">
      <alignment horizontal="center" vertical="center" wrapText="1"/>
      <protection hidden="1"/>
    </xf>
    <xf numFmtId="0" fontId="20" fillId="4" borderId="13" xfId="1" applyFont="1" applyFill="1" applyBorder="1" applyProtection="1">
      <alignment vertical="center"/>
      <protection hidden="1"/>
    </xf>
    <xf numFmtId="0" fontId="29" fillId="4" borderId="14" xfId="1" applyFont="1" applyFill="1" applyBorder="1" applyAlignment="1" applyProtection="1">
      <alignment horizontal="left" vertical="center" wrapText="1"/>
      <protection hidden="1"/>
    </xf>
    <xf numFmtId="164" fontId="28" fillId="0" borderId="1" xfId="1" applyNumberFormat="1" applyFont="1" applyBorder="1" applyAlignment="1" applyProtection="1">
      <alignment horizontal="center" vertical="center"/>
      <protection hidden="1"/>
    </xf>
    <xf numFmtId="0" fontId="15" fillId="3" borderId="0" xfId="2" applyFont="1" applyFill="1" applyAlignment="1" applyProtection="1">
      <alignment vertical="center"/>
      <protection hidden="1"/>
    </xf>
    <xf numFmtId="169" fontId="20" fillId="3" borderId="0" xfId="3" applyNumberFormat="1" applyFont="1" applyFill="1" applyBorder="1">
      <alignment vertical="center"/>
    </xf>
    <xf numFmtId="166" fontId="28" fillId="5" borderId="1" xfId="1" applyNumberFormat="1" applyFont="1" applyFill="1" applyBorder="1" applyAlignment="1" applyProtection="1">
      <alignment horizontal="center" vertical="center"/>
      <protection hidden="1"/>
    </xf>
    <xf numFmtId="41" fontId="20" fillId="5" borderId="1" xfId="3" applyFont="1" applyFill="1" applyBorder="1" applyAlignment="1">
      <alignment horizontal="center" vertical="center"/>
    </xf>
    <xf numFmtId="0" fontId="10" fillId="5" borderId="4" xfId="1" applyFont="1" applyFill="1" applyBorder="1" applyAlignment="1" applyProtection="1">
      <alignment horizontal="left" vertical="center" wrapText="1"/>
      <protection hidden="1"/>
    </xf>
    <xf numFmtId="0" fontId="18" fillId="2" borderId="0" xfId="1" applyFont="1" applyFill="1" applyAlignment="1" applyProtection="1">
      <alignment horizontal="right" vertical="center"/>
      <protection hidden="1"/>
    </xf>
    <xf numFmtId="169" fontId="20" fillId="0" borderId="1" xfId="3" applyNumberFormat="1" applyFont="1" applyFill="1" applyBorder="1">
      <alignment vertical="center"/>
    </xf>
    <xf numFmtId="0" fontId="11" fillId="0" borderId="15" xfId="1" applyFont="1" applyBorder="1" applyAlignment="1" applyProtection="1">
      <alignment horizontal="center" vertical="center"/>
      <protection hidden="1"/>
    </xf>
    <xf numFmtId="0" fontId="11" fillId="0" borderId="6" xfId="1" applyFont="1" applyBorder="1" applyAlignment="1" applyProtection="1">
      <alignment horizontal="center" vertical="center"/>
      <protection hidden="1"/>
    </xf>
    <xf numFmtId="0" fontId="20" fillId="0" borderId="6" xfId="1" applyFont="1" applyBorder="1" applyAlignment="1" applyProtection="1">
      <alignment horizontal="center" vertical="center"/>
      <protection hidden="1"/>
    </xf>
    <xf numFmtId="0" fontId="20" fillId="0" borderId="6" xfId="1" applyFont="1" applyBorder="1" applyAlignment="1" applyProtection="1">
      <alignment horizontal="center" vertical="center" wrapText="1"/>
      <protection hidden="1"/>
    </xf>
    <xf numFmtId="0" fontId="20" fillId="0" borderId="7" xfId="1" applyFont="1" applyBorder="1" applyProtection="1">
      <alignment vertical="center"/>
      <protection hidden="1"/>
    </xf>
    <xf numFmtId="0" fontId="11" fillId="0" borderId="4" xfId="1" applyFont="1" applyBorder="1" applyAlignment="1" applyProtection="1">
      <alignment horizontal="left" vertical="center" wrapText="1"/>
      <protection hidden="1"/>
    </xf>
    <xf numFmtId="0" fontId="11" fillId="4" borderId="10" xfId="1" applyFont="1" applyFill="1" applyBorder="1" applyAlignment="1" applyProtection="1">
      <alignment horizontal="center" vertical="center"/>
      <protection hidden="1"/>
    </xf>
    <xf numFmtId="0" fontId="11" fillId="4" borderId="11" xfId="1" applyFont="1" applyFill="1" applyBorder="1" applyAlignment="1" applyProtection="1">
      <alignment horizontal="center" vertical="center"/>
      <protection hidden="1"/>
    </xf>
    <xf numFmtId="0" fontId="11" fillId="5" borderId="8" xfId="1" applyFont="1" applyFill="1" applyBorder="1" applyAlignment="1" applyProtection="1">
      <alignment horizontal="center" vertical="center" wrapText="1"/>
      <protection hidden="1"/>
    </xf>
    <xf numFmtId="0" fontId="11" fillId="5" borderId="1" xfId="1" applyFont="1" applyFill="1" applyBorder="1" applyAlignment="1" applyProtection="1">
      <alignment horizontal="center" vertical="center" wrapText="1"/>
      <protection hidden="1"/>
    </xf>
    <xf numFmtId="0" fontId="13" fillId="4" borderId="12" xfId="1" applyFont="1" applyFill="1" applyBorder="1" applyAlignment="1" applyProtection="1">
      <alignment horizontal="left" vertical="center"/>
      <protection hidden="1"/>
    </xf>
    <xf numFmtId="0" fontId="13" fillId="4" borderId="9" xfId="1" applyFont="1" applyFill="1" applyBorder="1" applyAlignment="1" applyProtection="1">
      <alignment horizontal="left" vertical="center"/>
      <protection hidden="1"/>
    </xf>
    <xf numFmtId="0" fontId="15" fillId="0" borderId="3" xfId="2" applyFont="1" applyBorder="1" applyAlignment="1" applyProtection="1">
      <alignment horizontal="left" vertical="center"/>
      <protection hidden="1"/>
    </xf>
    <xf numFmtId="0" fontId="11" fillId="2" borderId="0" xfId="1" applyFont="1" applyFill="1" applyAlignment="1" applyProtection="1">
      <alignment horizontal="left" vertical="center" shrinkToFit="1"/>
      <protection hidden="1"/>
    </xf>
    <xf numFmtId="0" fontId="11" fillId="2" borderId="5" xfId="1" applyFont="1" applyFill="1" applyBorder="1" applyAlignment="1" applyProtection="1">
      <alignment horizontal="left" vertical="center" shrinkToFit="1"/>
      <protection hidden="1"/>
    </xf>
    <xf numFmtId="0" fontId="11" fillId="2" borderId="0" xfId="1" applyFont="1" applyFill="1" applyAlignment="1" applyProtection="1">
      <alignment horizontal="right" vertical="center"/>
      <protection hidden="1"/>
    </xf>
    <xf numFmtId="0" fontId="12" fillId="2" borderId="0" xfId="1" applyFont="1" applyFill="1" applyAlignment="1" applyProtection="1">
      <alignment horizontal="center" vertical="center"/>
      <protection hidden="1"/>
    </xf>
    <xf numFmtId="0" fontId="24" fillId="2" borderId="0" xfId="1" applyFont="1" applyFill="1" applyAlignment="1" applyProtection="1">
      <alignment horizontal="left" vertical="center"/>
      <protection hidden="1"/>
    </xf>
    <xf numFmtId="0" fontId="17" fillId="3" borderId="0" xfId="2" applyFont="1" applyFill="1" applyAlignment="1" applyProtection="1">
      <alignment horizontal="center" vertical="center"/>
      <protection hidden="1"/>
    </xf>
  </cellXfs>
  <cellStyles count="7">
    <cellStyle name="Normal 2" xfId="6" xr:uid="{95AD1461-7C42-4D45-9CA3-32856BB0C992}"/>
    <cellStyle name="Normal 3" xfId="4" xr:uid="{A44B4BFC-43D1-4C78-A78A-B745E56046EE}"/>
    <cellStyle name="백분율" xfId="5" builtinId="5"/>
    <cellStyle name="쉼표 [0]" xfId="3" builtinId="6"/>
    <cellStyle name="표준" xfId="0" builtinId="0"/>
    <cellStyle name="표준 13" xfId="1" xr:uid="{00000000-0005-0000-0000-000003000000}"/>
    <cellStyle name="표준_현대" xfId="2" xr:uid="{00000000-0005-0000-0000-000004000000}"/>
  </cellStyles>
  <dxfs count="0"/>
  <tableStyles count="1" defaultTableStyle="TableStyleMedium2" defaultPivotStyle="PivotStyleLight16">
    <tableStyle name="Invisible" pivot="0" table="0" count="0" xr9:uid="{E78A5042-2E27-47BF-84B2-A0DD0FBE98B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1455964</xdr:colOff>
      <xdr:row>39</xdr:row>
      <xdr:rowOff>317867</xdr:rowOff>
    </xdr:from>
    <xdr:to>
      <xdr:col>6</xdr:col>
      <xdr:colOff>3376998</xdr:colOff>
      <xdr:row>44</xdr:row>
      <xdr:rowOff>359498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E891547-4B4A-4381-9EB4-FC773F49E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0" y="12972510"/>
          <a:ext cx="3499462" cy="2109917"/>
        </a:xfrm>
        <a:prstGeom prst="rect">
          <a:avLst/>
        </a:prstGeom>
      </xdr:spPr>
    </xdr:pic>
    <xdr:clientData/>
  </xdr:twoCellAnchor>
  <xdr:twoCellAnchor editAs="oneCell">
    <xdr:from>
      <xdr:col>0</xdr:col>
      <xdr:colOff>79374</xdr:colOff>
      <xdr:row>1</xdr:row>
      <xdr:rowOff>114300</xdr:rowOff>
    </xdr:from>
    <xdr:to>
      <xdr:col>1</xdr:col>
      <xdr:colOff>935488</xdr:colOff>
      <xdr:row>7</xdr:row>
      <xdr:rowOff>146506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2135E9EB-4ABC-417C-99A7-EED80B06D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4" y="295275"/>
          <a:ext cx="1751464" cy="1592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159698</xdr:colOff>
      <xdr:row>10</xdr:row>
      <xdr:rowOff>121135</xdr:rowOff>
    </xdr:from>
    <xdr:to>
      <xdr:col>16</xdr:col>
      <xdr:colOff>440542</xdr:colOff>
      <xdr:row>22</xdr:row>
      <xdr:rowOff>211389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8677CF3-7A31-481A-9C0B-596EBC333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56323" y="3302485"/>
          <a:ext cx="5081445" cy="3719278"/>
        </a:xfrm>
        <a:prstGeom prst="rect">
          <a:avLst/>
        </a:prstGeom>
      </xdr:spPr>
    </xdr:pic>
    <xdr:clientData/>
  </xdr:twoCellAnchor>
  <xdr:twoCellAnchor editAs="oneCell">
    <xdr:from>
      <xdr:col>16</xdr:col>
      <xdr:colOff>563335</xdr:colOff>
      <xdr:row>17</xdr:row>
      <xdr:rowOff>201385</xdr:rowOff>
    </xdr:from>
    <xdr:to>
      <xdr:col>29</xdr:col>
      <xdr:colOff>333389</xdr:colOff>
      <xdr:row>26</xdr:row>
      <xdr:rowOff>40821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64EED21-0A90-45EA-BBBB-E45DFEADE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460560" y="5573485"/>
          <a:ext cx="8313978" cy="2296886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571500</xdr:colOff>
      <xdr:row>26</xdr:row>
      <xdr:rowOff>40821</xdr:rowOff>
    </xdr:from>
    <xdr:to>
      <xdr:col>23</xdr:col>
      <xdr:colOff>400746</xdr:colOff>
      <xdr:row>27</xdr:row>
      <xdr:rowOff>639709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D78DB6F-0E95-41AB-8DE1-C584B86DB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468725" y="7870371"/>
          <a:ext cx="4315519" cy="125475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285750</xdr:colOff>
      <xdr:row>26</xdr:row>
      <xdr:rowOff>502233</xdr:rowOff>
    </xdr:from>
    <xdr:to>
      <xdr:col>32</xdr:col>
      <xdr:colOff>282665</xdr:colOff>
      <xdr:row>43</xdr:row>
      <xdr:rowOff>229453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283F74A-E5E9-7F07-238C-4597F8D5C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893393" y="8326340"/>
          <a:ext cx="9263380" cy="7894226"/>
        </a:xfrm>
        <a:prstGeom prst="rect">
          <a:avLst/>
        </a:prstGeom>
      </xdr:spPr>
    </xdr:pic>
    <xdr:clientData/>
  </xdr:twoCellAnchor>
  <xdr:twoCellAnchor editAs="oneCell">
    <xdr:from>
      <xdr:col>16</xdr:col>
      <xdr:colOff>530679</xdr:colOff>
      <xdr:row>33</xdr:row>
      <xdr:rowOff>149678</xdr:rowOff>
    </xdr:from>
    <xdr:to>
      <xdr:col>27</xdr:col>
      <xdr:colOff>240454</xdr:colOff>
      <xdr:row>58</xdr:row>
      <xdr:rowOff>137066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4322B9B-CE3A-4C7F-55AB-68CB4D443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689286" y="8967107"/>
          <a:ext cx="6935168" cy="7125694"/>
        </a:xfrm>
        <a:prstGeom prst="rect">
          <a:avLst/>
        </a:prstGeom>
      </xdr:spPr>
    </xdr:pic>
    <xdr:clientData/>
  </xdr:twoCellAnchor>
  <xdr:twoCellAnchor editAs="oneCell">
    <xdr:from>
      <xdr:col>0</xdr:col>
      <xdr:colOff>244929</xdr:colOff>
      <xdr:row>48</xdr:row>
      <xdr:rowOff>149677</xdr:rowOff>
    </xdr:from>
    <xdr:to>
      <xdr:col>6</xdr:col>
      <xdr:colOff>737289</xdr:colOff>
      <xdr:row>87</xdr:row>
      <xdr:rowOff>62181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F8B2F4F-5842-9E72-7411-341F8A6C2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4929" y="15838713"/>
          <a:ext cx="8183117" cy="6811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BB0D-F0AA-4CC7-88C2-EFE30417B2B1}">
  <sheetPr>
    <pageSetUpPr fitToPage="1"/>
  </sheetPr>
  <dimension ref="A1:U45"/>
  <sheetViews>
    <sheetView tabSelected="1" view="pageBreakPreview" zoomScale="70" zoomScaleNormal="70" zoomScaleSheetLayoutView="70" workbookViewId="0">
      <selection activeCell="F15" sqref="F15"/>
    </sheetView>
  </sheetViews>
  <sheetFormatPr defaultColWidth="10.109375" defaultRowHeight="13.8"/>
  <cols>
    <col min="1" max="1" width="13.44140625" style="13" bestFit="1" customWidth="1"/>
    <col min="2" max="2" width="19.6640625" style="13" customWidth="1"/>
    <col min="3" max="3" width="32.5546875" style="13" customWidth="1"/>
    <col min="4" max="4" width="14.44140625" style="13" customWidth="1"/>
    <col min="5" max="5" width="11.109375" style="13" bestFit="1" customWidth="1"/>
    <col min="6" max="6" width="23.6640625" style="38" customWidth="1"/>
    <col min="7" max="7" width="51.5546875" style="13" customWidth="1"/>
    <col min="8" max="8" width="10.109375" style="13"/>
    <col min="9" max="9" width="14.109375" style="41" bestFit="1" customWidth="1"/>
    <col min="10" max="10" width="10.109375" style="41"/>
    <col min="11" max="11" width="10.109375" style="42"/>
    <col min="12" max="12" width="11.109375" style="13" bestFit="1" customWidth="1"/>
    <col min="13" max="19" width="10.109375" style="13"/>
    <col min="20" max="20" width="5.6640625" style="13" bestFit="1" customWidth="1"/>
    <col min="21" max="21" width="10.88671875" style="13" bestFit="1" customWidth="1"/>
    <col min="22" max="16384" width="10.109375" style="13"/>
  </cols>
  <sheetData>
    <row r="1" spans="1:11">
      <c r="C1" s="36"/>
      <c r="E1" s="37"/>
      <c r="I1" s="13"/>
      <c r="J1" s="13"/>
      <c r="K1" s="13"/>
    </row>
    <row r="2" spans="1:11" s="5" customFormat="1" ht="26.7" customHeight="1">
      <c r="A2" s="114"/>
      <c r="B2" s="114"/>
      <c r="C2" s="115" t="s">
        <v>28</v>
      </c>
      <c r="D2" s="115"/>
      <c r="E2" s="115"/>
    </row>
    <row r="3" spans="1:11" s="5" customFormat="1" ht="20.399999999999999">
      <c r="A3" s="114"/>
      <c r="B3" s="114"/>
      <c r="C3" s="15" t="s">
        <v>41</v>
      </c>
      <c r="D3" s="19"/>
      <c r="E3" s="20"/>
      <c r="F3" s="71" t="s">
        <v>37</v>
      </c>
      <c r="G3" s="70"/>
    </row>
    <row r="4" spans="1:11" s="5" customFormat="1" ht="20.399999999999999">
      <c r="A4" s="114"/>
      <c r="B4" s="114"/>
      <c r="C4" s="15" t="s">
        <v>42</v>
      </c>
      <c r="D4" s="16"/>
      <c r="E4" s="17"/>
      <c r="F4" s="69" t="s">
        <v>36</v>
      </c>
      <c r="G4" s="68"/>
    </row>
    <row r="5" spans="1:11" s="5" customFormat="1" ht="20.399999999999999">
      <c r="A5" s="114"/>
      <c r="B5" s="114"/>
      <c r="C5" s="39" t="s">
        <v>8</v>
      </c>
      <c r="D5" s="16"/>
      <c r="E5" s="17"/>
      <c r="F5" s="72" t="s">
        <v>27</v>
      </c>
      <c r="G5" s="67"/>
      <c r="H5" s="4"/>
    </row>
    <row r="6" spans="1:11" s="5" customFormat="1" ht="17.399999999999999">
      <c r="A6" s="114"/>
      <c r="B6" s="114"/>
      <c r="C6" s="39" t="s">
        <v>7</v>
      </c>
      <c r="D6" s="16"/>
      <c r="E6" s="30"/>
      <c r="H6" s="11"/>
    </row>
    <row r="7" spans="1:11" s="5" customFormat="1" ht="20.25" customHeight="1">
      <c r="A7" s="12"/>
      <c r="B7" s="12"/>
      <c r="C7" s="39" t="s">
        <v>9</v>
      </c>
      <c r="D7" s="16"/>
      <c r="E7" s="30"/>
      <c r="H7" s="11"/>
    </row>
    <row r="8" spans="1:11" s="5" customFormat="1" ht="13.5" customHeight="1">
      <c r="A8" s="12"/>
      <c r="B8" s="12"/>
      <c r="C8" s="39" t="s">
        <v>6</v>
      </c>
      <c r="D8" s="16"/>
      <c r="E8" s="30"/>
      <c r="H8" s="11"/>
    </row>
    <row r="9" spans="1:11" s="5" customFormat="1" ht="25.5" customHeight="1">
      <c r="A9" s="12"/>
      <c r="B9" s="12"/>
      <c r="C9" s="7"/>
      <c r="D9" s="6"/>
      <c r="E9" s="9"/>
      <c r="G9" s="10"/>
      <c r="H9" s="11"/>
    </row>
    <row r="10" spans="1:11" ht="64.5" customHeight="1">
      <c r="A10" s="116" t="s">
        <v>26</v>
      </c>
      <c r="B10" s="116"/>
      <c r="C10" s="116"/>
      <c r="D10" s="116"/>
      <c r="E10" s="116"/>
      <c r="F10" s="116"/>
      <c r="G10" s="116"/>
      <c r="H10" s="85"/>
      <c r="I10" s="13"/>
      <c r="J10" s="13"/>
      <c r="K10" s="13"/>
    </row>
    <row r="11" spans="1:11" ht="22.95" customHeight="1">
      <c r="A11" s="14"/>
      <c r="B11" s="14"/>
      <c r="C11" s="14"/>
      <c r="D11" s="14"/>
      <c r="E11" s="14"/>
      <c r="F11" s="14"/>
      <c r="G11" s="14"/>
      <c r="H11" s="14"/>
      <c r="I11" s="13"/>
      <c r="J11" s="13"/>
      <c r="K11" s="13"/>
    </row>
    <row r="12" spans="1:11" ht="24.75" customHeight="1">
      <c r="A12" s="91" t="s">
        <v>43</v>
      </c>
      <c r="B12" s="16"/>
      <c r="C12" s="16"/>
      <c r="D12" s="16"/>
      <c r="E12" s="16"/>
      <c r="F12" s="16"/>
      <c r="G12" s="16"/>
      <c r="H12" s="16"/>
      <c r="I12" s="13"/>
      <c r="J12" s="13"/>
      <c r="K12" s="13"/>
    </row>
    <row r="13" spans="1:11" ht="24.75" customHeight="1">
      <c r="A13" s="39"/>
      <c r="B13" s="39"/>
      <c r="C13" s="39"/>
      <c r="D13" s="39"/>
      <c r="E13" s="39"/>
      <c r="F13" s="39"/>
      <c r="G13" s="39"/>
      <c r="H13" s="39"/>
      <c r="I13" s="13"/>
      <c r="J13" s="13"/>
      <c r="K13" s="13"/>
    </row>
    <row r="14" spans="1:11" ht="24.75" customHeight="1">
      <c r="A14" s="67"/>
      <c r="B14" s="67"/>
      <c r="C14" s="67"/>
      <c r="D14" s="67"/>
      <c r="E14" s="67"/>
      <c r="F14" s="67"/>
      <c r="G14" s="67"/>
      <c r="H14" s="67"/>
      <c r="I14" s="13"/>
      <c r="J14" s="13"/>
      <c r="K14" s="13"/>
    </row>
    <row r="15" spans="1:11" ht="24.75" customHeight="1">
      <c r="A15" s="19" t="s">
        <v>13</v>
      </c>
      <c r="B15" s="19"/>
      <c r="C15" s="19"/>
      <c r="D15" s="19"/>
      <c r="E15" s="19"/>
      <c r="F15" s="19"/>
      <c r="G15" s="19"/>
      <c r="H15" s="19"/>
      <c r="I15" s="13"/>
      <c r="J15" s="13"/>
      <c r="K15" s="13"/>
    </row>
    <row r="16" spans="1:11" ht="25.5" customHeight="1">
      <c r="A16" s="113" t="s">
        <v>0</v>
      </c>
      <c r="B16" s="113"/>
      <c r="C16" s="15"/>
      <c r="D16" s="16"/>
      <c r="E16" s="17"/>
      <c r="F16" s="18" t="s">
        <v>1</v>
      </c>
      <c r="G16" s="18"/>
      <c r="H16" s="3"/>
      <c r="I16" s="13"/>
      <c r="J16" s="13"/>
      <c r="K16" s="13"/>
    </row>
    <row r="17" spans="1:11" ht="25.5" customHeight="1">
      <c r="A17" s="113" t="s">
        <v>25</v>
      </c>
      <c r="B17" s="113"/>
      <c r="C17" s="15"/>
      <c r="D17" s="19"/>
      <c r="E17" s="20"/>
      <c r="F17" s="21" t="s">
        <v>2</v>
      </c>
      <c r="G17" s="18"/>
      <c r="H17" s="3"/>
      <c r="I17" s="13"/>
      <c r="J17" s="13"/>
      <c r="K17" s="13"/>
    </row>
    <row r="18" spans="1:11" ht="25.5" customHeight="1">
      <c r="A18" s="113" t="s">
        <v>14</v>
      </c>
      <c r="B18" s="113"/>
      <c r="C18" s="15"/>
      <c r="D18" s="16"/>
      <c r="E18" s="17"/>
      <c r="F18" s="21" t="s">
        <v>3</v>
      </c>
      <c r="G18" s="65"/>
      <c r="H18" s="63"/>
      <c r="I18" s="13"/>
      <c r="J18" s="13"/>
      <c r="K18" s="13"/>
    </row>
    <row r="19" spans="1:11" ht="25.5" customHeight="1">
      <c r="A19" s="3"/>
      <c r="B19" s="22" t="s">
        <v>4</v>
      </c>
      <c r="C19" s="111"/>
      <c r="D19" s="111"/>
      <c r="E19" s="112"/>
      <c r="F19" s="23" t="s">
        <v>29</v>
      </c>
      <c r="G19" s="66"/>
      <c r="H19" s="64"/>
      <c r="I19" s="24"/>
      <c r="J19" s="13"/>
      <c r="K19" s="13"/>
    </row>
    <row r="20" spans="1:11" ht="24.75" customHeight="1">
      <c r="A20" s="3"/>
      <c r="B20" s="22"/>
      <c r="C20" s="25"/>
      <c r="D20" s="25"/>
      <c r="E20" s="17"/>
      <c r="F20" s="26"/>
      <c r="G20" s="26"/>
      <c r="H20" s="3"/>
      <c r="I20" s="24"/>
      <c r="J20" s="13"/>
      <c r="K20" s="13"/>
    </row>
    <row r="21" spans="1:11" ht="17.399999999999999">
      <c r="B21" s="19" t="s">
        <v>15</v>
      </c>
      <c r="C21" s="111" t="s">
        <v>10</v>
      </c>
      <c r="D21" s="111"/>
      <c r="E21" s="111"/>
      <c r="F21" s="111"/>
      <c r="G21" s="3"/>
      <c r="H21" s="3"/>
      <c r="I21" s="24"/>
      <c r="J21" s="13"/>
      <c r="K21" s="13"/>
    </row>
    <row r="22" spans="1:11" ht="20.399999999999999">
      <c r="A22" s="27"/>
      <c r="B22" s="80"/>
      <c r="C22" s="111" t="s">
        <v>16</v>
      </c>
      <c r="D22" s="111"/>
      <c r="E22" s="111"/>
      <c r="F22" s="111"/>
      <c r="G22" s="3"/>
      <c r="H22" s="3"/>
      <c r="I22" s="24"/>
      <c r="J22" s="13"/>
      <c r="K22" s="13"/>
    </row>
    <row r="23" spans="1:11" ht="20.399999999999999">
      <c r="A23" s="27"/>
      <c r="B23" s="80"/>
      <c r="C23" s="111" t="s">
        <v>11</v>
      </c>
      <c r="D23" s="111"/>
      <c r="E23" s="111"/>
      <c r="F23" s="111"/>
      <c r="G23" s="111"/>
      <c r="H23" s="111"/>
      <c r="I23" s="24"/>
      <c r="J23" s="13"/>
      <c r="K23" s="13"/>
    </row>
    <row r="24" spans="1:11" ht="20.399999999999999">
      <c r="A24" s="27"/>
      <c r="B24" s="80"/>
      <c r="C24" s="111" t="s">
        <v>17</v>
      </c>
      <c r="D24" s="111"/>
      <c r="E24" s="111"/>
      <c r="F24" s="111"/>
      <c r="G24" s="111"/>
      <c r="H24" s="111"/>
      <c r="I24" s="24"/>
      <c r="J24" s="13"/>
      <c r="K24" s="13"/>
    </row>
    <row r="25" spans="1:11" ht="20.399999999999999">
      <c r="A25" s="1"/>
      <c r="B25" s="81"/>
      <c r="C25" s="111" t="s">
        <v>12</v>
      </c>
      <c r="D25" s="111"/>
      <c r="E25" s="111"/>
      <c r="F25" s="111"/>
      <c r="G25" s="111"/>
      <c r="H25" s="111"/>
      <c r="I25" s="24"/>
      <c r="J25" s="13"/>
      <c r="K25" s="13"/>
    </row>
    <row r="26" spans="1:11" ht="21.75" customHeight="1" thickBot="1">
      <c r="A26" s="28"/>
      <c r="B26" s="28"/>
      <c r="C26" s="29"/>
      <c r="D26" s="28"/>
      <c r="E26" s="30"/>
      <c r="F26" s="31"/>
      <c r="G26" s="28"/>
      <c r="H26" s="29"/>
      <c r="I26" s="24"/>
      <c r="J26" s="13"/>
      <c r="K26" s="13"/>
    </row>
    <row r="27" spans="1:11" ht="51.75" customHeight="1">
      <c r="A27" s="104" t="s">
        <v>18</v>
      </c>
      <c r="B27" s="105"/>
      <c r="C27" s="86" t="s">
        <v>5</v>
      </c>
      <c r="D27" s="87" t="s">
        <v>30</v>
      </c>
      <c r="E27" s="86" t="s">
        <v>31</v>
      </c>
      <c r="F27" s="87" t="s">
        <v>19</v>
      </c>
      <c r="G27" s="88" t="s">
        <v>20</v>
      </c>
      <c r="I27" s="41" t="s">
        <v>32</v>
      </c>
      <c r="J27" s="41" t="s">
        <v>33</v>
      </c>
      <c r="K27" s="42" t="s">
        <v>34</v>
      </c>
    </row>
    <row r="28" spans="1:11" ht="51.75" customHeight="1">
      <c r="A28" s="98">
        <v>1</v>
      </c>
      <c r="B28" s="99"/>
      <c r="C28" s="100"/>
      <c r="D28" s="101"/>
      <c r="E28" s="100"/>
      <c r="F28" s="101"/>
      <c r="G28" s="102"/>
    </row>
    <row r="29" spans="1:11" ht="51.75" customHeight="1">
      <c r="A29" s="98">
        <v>2</v>
      </c>
      <c r="B29" s="99"/>
      <c r="C29" s="100"/>
      <c r="D29" s="101"/>
      <c r="E29" s="100"/>
      <c r="F29" s="101"/>
      <c r="G29" s="102"/>
    </row>
    <row r="30" spans="1:11" ht="51.75" customHeight="1">
      <c r="A30" s="98">
        <v>3</v>
      </c>
      <c r="B30" s="99"/>
      <c r="C30" s="100"/>
      <c r="D30" s="101"/>
      <c r="E30" s="100"/>
      <c r="F30" s="101"/>
      <c r="G30" s="102"/>
    </row>
    <row r="31" spans="1:11" ht="51.75" customHeight="1">
      <c r="A31" s="98">
        <v>4</v>
      </c>
      <c r="B31" s="99"/>
      <c r="C31" s="100"/>
      <c r="D31" s="101"/>
      <c r="E31" s="100"/>
      <c r="F31" s="101"/>
      <c r="G31" s="102"/>
    </row>
    <row r="32" spans="1:11" ht="51.75" customHeight="1">
      <c r="A32" s="98">
        <v>5</v>
      </c>
      <c r="B32" s="99"/>
      <c r="C32" s="100"/>
      <c r="D32" s="101"/>
      <c r="E32" s="100"/>
      <c r="F32" s="101"/>
      <c r="G32" s="102"/>
    </row>
    <row r="33" spans="1:21" ht="36.75" customHeight="1">
      <c r="A33" s="98">
        <v>6</v>
      </c>
      <c r="B33" s="44"/>
      <c r="C33" s="44"/>
      <c r="D33" s="97"/>
      <c r="E33" s="84"/>
      <c r="F33" s="90"/>
      <c r="G33" s="103"/>
      <c r="I33" s="41">
        <v>4400</v>
      </c>
      <c r="J33" s="41">
        <v>1400</v>
      </c>
      <c r="K33" s="42">
        <v>7.0000000000000007E-2</v>
      </c>
      <c r="M33" s="83">
        <f>ROUNDUP(3050/1290/(0.93),2)</f>
        <v>2.5499999999999998</v>
      </c>
    </row>
    <row r="34" spans="1:21" ht="36.75" customHeight="1">
      <c r="A34" s="98">
        <v>7</v>
      </c>
      <c r="B34" s="44"/>
      <c r="C34" s="44"/>
      <c r="D34" s="97"/>
      <c r="E34" s="84"/>
      <c r="F34" s="90"/>
      <c r="G34" s="103"/>
      <c r="I34" s="41">
        <v>5100</v>
      </c>
      <c r="J34" s="41">
        <v>1400</v>
      </c>
      <c r="K34" s="42">
        <v>7.0000000000000007E-2</v>
      </c>
      <c r="M34" s="92"/>
      <c r="Q34" s="13" t="s">
        <v>39</v>
      </c>
    </row>
    <row r="35" spans="1:21" ht="17.399999999999999">
      <c r="A35" s="106" t="s">
        <v>44</v>
      </c>
      <c r="B35" s="107"/>
      <c r="C35" s="107"/>
      <c r="D35" s="93"/>
      <c r="E35" s="94"/>
      <c r="F35" s="93"/>
      <c r="G35" s="95"/>
      <c r="J35" s="41">
        <f>4100*1.1</f>
        <v>4510</v>
      </c>
      <c r="S35" s="96" t="s">
        <v>38</v>
      </c>
      <c r="T35" s="36">
        <v>4000</v>
      </c>
      <c r="U35" s="40">
        <f>T35*$E$34</f>
        <v>0</v>
      </c>
    </row>
    <row r="36" spans="1:21" ht="51" customHeight="1" thickBot="1">
      <c r="A36" s="108" t="s">
        <v>45</v>
      </c>
      <c r="B36" s="109"/>
      <c r="C36" s="109"/>
      <c r="D36" s="109"/>
      <c r="E36" s="109"/>
      <c r="F36" s="82">
        <f>SUM(F33:F35)</f>
        <v>0</v>
      </c>
      <c r="G36" s="89" t="e">
        <f>"CIF MERSIN Price/Kg: USD "&amp;ROUNDUP(D33+F35/E33,2)</f>
        <v>#DIV/0!</v>
      </c>
      <c r="J36" s="43" t="s">
        <v>40</v>
      </c>
      <c r="U36" s="40" t="e">
        <f>#REF!-U35</f>
        <v>#REF!</v>
      </c>
    </row>
    <row r="37" spans="1:21" s="76" customFormat="1" ht="20.399999999999999">
      <c r="A37" s="73"/>
      <c r="B37" s="73"/>
      <c r="C37" s="73"/>
      <c r="D37" s="73"/>
      <c r="E37" s="73"/>
      <c r="F37" s="74"/>
      <c r="G37" s="75"/>
      <c r="I37" s="77"/>
      <c r="J37" s="77"/>
      <c r="K37" s="78"/>
    </row>
    <row r="38" spans="1:21" s="8" customFormat="1" ht="24" customHeight="1">
      <c r="A38" s="46"/>
      <c r="B38" s="79" t="s">
        <v>35</v>
      </c>
      <c r="C38" s="46"/>
      <c r="D38" s="46"/>
      <c r="E38" s="46"/>
      <c r="F38" s="48"/>
      <c r="G38" s="49"/>
      <c r="I38" s="35"/>
      <c r="J38" s="35"/>
      <c r="K38" s="45"/>
    </row>
    <row r="39" spans="1:21" s="8" customFormat="1" ht="24" customHeight="1">
      <c r="A39" s="46"/>
      <c r="B39" s="79" t="s">
        <v>21</v>
      </c>
      <c r="C39" s="46"/>
      <c r="D39" s="46"/>
      <c r="E39" s="46"/>
      <c r="F39" s="48"/>
      <c r="G39" s="49"/>
      <c r="I39" s="35"/>
      <c r="J39" s="35"/>
      <c r="K39" s="45"/>
    </row>
    <row r="40" spans="1:21" s="8" customFormat="1" ht="27.75" customHeight="1">
      <c r="A40" s="46"/>
      <c r="B40" s="47"/>
      <c r="C40" s="46"/>
      <c r="D40" s="46"/>
      <c r="E40" s="46"/>
      <c r="F40" s="48"/>
      <c r="G40" s="49"/>
      <c r="I40" s="35"/>
      <c r="J40" s="35"/>
      <c r="K40" s="45"/>
    </row>
    <row r="41" spans="1:21" s="3" customFormat="1" ht="32.700000000000003" customHeight="1">
      <c r="A41" s="50"/>
      <c r="B41" s="47"/>
      <c r="C41" s="51"/>
      <c r="D41" s="51"/>
      <c r="E41" s="51"/>
      <c r="F41" s="52"/>
      <c r="G41" s="53"/>
      <c r="I41" s="54"/>
      <c r="J41" s="54"/>
      <c r="K41" s="55"/>
    </row>
    <row r="42" spans="1:21" s="3" customFormat="1" ht="24" customHeight="1">
      <c r="A42" s="50"/>
      <c r="B42" s="56"/>
      <c r="C42" s="51"/>
      <c r="D42" s="51"/>
      <c r="E42" s="51"/>
      <c r="F42" s="52"/>
      <c r="G42" s="53"/>
      <c r="I42" s="54"/>
      <c r="J42" s="54"/>
      <c r="K42" s="55"/>
    </row>
    <row r="43" spans="1:21" ht="26.7" customHeight="1">
      <c r="A43" s="33"/>
      <c r="B43" s="33"/>
      <c r="C43" s="33"/>
      <c r="D43" s="33"/>
      <c r="E43" s="33"/>
      <c r="F43" s="57"/>
      <c r="G43" s="58"/>
    </row>
    <row r="44" spans="1:21" ht="52.5" customHeight="1" thickBot="1">
      <c r="A44" s="32"/>
      <c r="B44" s="32"/>
      <c r="C44" s="33"/>
      <c r="E44" s="33"/>
      <c r="F44" s="13"/>
      <c r="G44" s="59" t="s">
        <v>22</v>
      </c>
    </row>
    <row r="45" spans="1:21" s="2" customFormat="1" ht="33.75" customHeight="1" thickTop="1">
      <c r="A45" s="110" t="s">
        <v>23</v>
      </c>
      <c r="B45" s="110"/>
      <c r="C45" s="110"/>
      <c r="D45" s="34"/>
      <c r="E45" s="34"/>
      <c r="G45" s="60" t="s">
        <v>24</v>
      </c>
      <c r="I45" s="61"/>
      <c r="J45" s="61"/>
      <c r="K45" s="62"/>
    </row>
  </sheetData>
  <mergeCells count="16">
    <mergeCell ref="A18:B18"/>
    <mergeCell ref="A2:B6"/>
    <mergeCell ref="C2:E2"/>
    <mergeCell ref="A10:G10"/>
    <mergeCell ref="A16:B16"/>
    <mergeCell ref="A17:B17"/>
    <mergeCell ref="A27:B27"/>
    <mergeCell ref="A35:C35"/>
    <mergeCell ref="A36:E36"/>
    <mergeCell ref="A45:C45"/>
    <mergeCell ref="C19:E19"/>
    <mergeCell ref="C21:F21"/>
    <mergeCell ref="C22:F22"/>
    <mergeCell ref="C23:H23"/>
    <mergeCell ref="C24:H24"/>
    <mergeCell ref="C25:H25"/>
  </mergeCells>
  <pageMargins left="0.7" right="0.7" top="0.75" bottom="0.75" header="0.3" footer="0.3"/>
  <pageSetup paperSize="9" scale="52"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PI-YSACC-YGZ-2026-05(HDPE)</vt:lpstr>
      <vt:lpstr>'PI-YSACC-YGZ-2026-05(HDPE)'!Print_Area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Juhan Kim</cp:lastModifiedBy>
  <cp:lastPrinted>2026-05-13T10:55:07Z</cp:lastPrinted>
  <dcterms:created xsi:type="dcterms:W3CDTF">2015-09-15T19:38:59Z</dcterms:created>
  <dcterms:modified xsi:type="dcterms:W3CDTF">2026-05-21T13:07:54Z</dcterms:modified>
</cp:coreProperties>
</file>